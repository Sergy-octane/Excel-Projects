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gy\Desktop\Excel_Projects\"/>
    </mc:Choice>
  </mc:AlternateContent>
  <xr:revisionPtr revIDLastSave="0" documentId="13_ncr:1_{7E057C41-4648-4092-B393-6A25598AFFC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nanz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B12" i="1" s="1"/>
  <c r="C11" i="1"/>
  <c r="C5" i="1"/>
  <c r="J2" i="1"/>
  <c r="I2" i="1"/>
  <c r="C16" i="1"/>
  <c r="C6" i="1"/>
  <c r="C7" i="1"/>
  <c r="C8" i="1"/>
  <c r="C9" i="1"/>
  <c r="C18" i="1"/>
  <c r="C17" i="1"/>
  <c r="B20" i="1" l="1"/>
</calcChain>
</file>

<file path=xl/sharedStrings.xml><?xml version="1.0" encoding="utf-8"?>
<sst xmlns="http://schemas.openxmlformats.org/spreadsheetml/2006/main" count="33" uniqueCount="32">
  <si>
    <t>INGRESO</t>
  </si>
  <si>
    <t>Ingreso Total</t>
  </si>
  <si>
    <t>GASTOS VARIABLES</t>
  </si>
  <si>
    <t>gas</t>
  </si>
  <si>
    <t>internet</t>
  </si>
  <si>
    <t>datos</t>
  </si>
  <si>
    <t>TOTAL GASTOS</t>
  </si>
  <si>
    <t>AHORROS</t>
  </si>
  <si>
    <t>Tipo</t>
  </si>
  <si>
    <t>%</t>
  </si>
  <si>
    <t>Monto</t>
  </si>
  <si>
    <t>Ahorro Inversion</t>
  </si>
  <si>
    <t>Ahorro Gustos</t>
  </si>
  <si>
    <t>Mercado</t>
  </si>
  <si>
    <t>DIVIDIDO POR DOS</t>
  </si>
  <si>
    <t>DINERO DISPONIBLE</t>
  </si>
  <si>
    <t>Esto se Pone manual</t>
  </si>
  <si>
    <t>Esto es automatico</t>
  </si>
  <si>
    <t>META</t>
  </si>
  <si>
    <t>MONTO TOTAL</t>
  </si>
  <si>
    <t>AHORRADO</t>
  </si>
  <si>
    <t>FALTA</t>
  </si>
  <si>
    <t>Aqui va el nombre de la meta que te pones</t>
  </si>
  <si>
    <t>Columna1</t>
  </si>
  <si>
    <t>Columna2</t>
  </si>
  <si>
    <t>Columna3</t>
  </si>
  <si>
    <t>Columna4</t>
  </si>
  <si>
    <t>PROGRESO</t>
  </si>
  <si>
    <t>Arriendo</t>
  </si>
  <si>
    <t>Otros</t>
  </si>
  <si>
    <t>Luz</t>
  </si>
  <si>
    <t>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</si>
</sst>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240A]\ * #,##0.00_-;\-[$$-240A]\ * #,##0.00_-;_-[$$-240A]\ * &quot;-&quot;??_-;_-@_-"/>
    <numFmt numFmtId="165" formatCode="_-[$$-240A]\ * #,##0_-;\-[$$-240A]\ * #,##0_-;_-[$$-240A]\ * &quot;-&quot;??_-;_-@_-"/>
  </numFmts>
  <fonts count="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2" fillId="0" borderId="0" xfId="0" applyFont="1"/>
    <xf numFmtId="9" fontId="2" fillId="0" borderId="0" xfId="0" applyNumberFormat="1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165" fontId="2" fillId="0" borderId="2" xfId="0" applyNumberFormat="1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164" fontId="2" fillId="0" borderId="2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165" fontId="2" fillId="0" borderId="0" xfId="0" applyNumberFormat="1" applyFont="1"/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[$$-240A]\ * #,##0_-;\-[$$-240A]\ * #,##0_-;_-[$$-240A]\ * &quot;-&quot;??_-;_-@_-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[$$-240A]\ * #,##0_-;\-[$$-240A]\ * #,##0_-;_-[$$-240A]\ * &quot;-&quot;??_-;_-@_-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-[$$-240A]\ * #,##0_-;\-[$$-240A]\ * #,##0_-;_-[$$-240A]\ * &quot;-&quot;??_-;_-@_-"/>
      <alignment horizontal="left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3" formatCode="0%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BA1F75-E5B3-4D85-98C1-A2A72DD8578D}" name="Tabla2" displayName="Tabla2" ref="A1:D20" totalsRowShown="0" headerRowDxfId="12" dataDxfId="11">
  <autoFilter ref="A1:D20" xr:uid="{8EBA1F75-E5B3-4D85-98C1-A2A72DD8578D}"/>
  <tableColumns count="4">
    <tableColumn id="1" xr3:uid="{5B8476C5-8D52-4C0E-A9AF-4090AA0A1879}" name="Columna1" dataDxfId="10"/>
    <tableColumn id="2" xr3:uid="{3ABEF486-657D-4276-9838-2A94B332BA06}" name="Columna2" dataDxfId="9"/>
    <tableColumn id="3" xr3:uid="{FA7250E0-561B-446D-B16A-3F05EDEDB738}" name="Columna3" dataDxfId="8"/>
    <tableColumn id="4" xr3:uid="{CB7E586C-8A4E-4EE3-A63D-18DEB2518F21}" name="Columna4" dataDxfId="7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962383-3517-4CD8-9547-47B483B03D06}" name="Tabla35" displayName="Tabla35" ref="F1:J3" totalsRowShown="0" headerRowDxfId="6" dataDxfId="5">
  <autoFilter ref="F1:J3" xr:uid="{33962383-3517-4CD8-9547-47B483B03D06}"/>
  <tableColumns count="5">
    <tableColumn id="1" xr3:uid="{EAEE59FD-40B3-4A50-A4C4-3EA76D7098D3}" name="META" dataDxfId="4"/>
    <tableColumn id="2" xr3:uid="{440E820E-241A-4B6D-90CC-51171E4F7A2B}" name="MONTO TOTAL" dataDxfId="3"/>
    <tableColumn id="3" xr3:uid="{52DC3FBF-F4B1-4750-BE48-04C6DFB3DDB5}" name="AHORRADO" dataDxfId="2"/>
    <tableColumn id="4" xr3:uid="{B390199F-4DD4-4739-B3A2-F0CF4578536C}" name="FALTA" dataDxfId="1">
      <calculatedColumnFormula>G2-H2</calculatedColumnFormula>
    </tableColumn>
    <tableColumn id="5" xr3:uid="{62826AD8-5C57-4734-968C-2EEFB9A8E387}" name="PROGRESO" dataDxfId="0">
      <calculatedColumnFormula>Tabla35[[#This Row],[AHORRADO]]/Tabla35[[#This Row],[MONTO TOTAL]]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J20"/>
  <sheetViews>
    <sheetView tabSelected="1" zoomScale="90" zoomScaleNormal="90" workbookViewId="0">
      <selection activeCell="C13" sqref="C13"/>
    </sheetView>
  </sheetViews>
  <sheetFormatPr baseColWidth="10" defaultColWidth="9.140625" defaultRowHeight="15" x14ac:dyDescent="0.25"/>
  <cols>
    <col min="1" max="1" width="20.85546875" bestFit="1" customWidth="1"/>
    <col min="2" max="2" width="16.28515625" bestFit="1" customWidth="1"/>
    <col min="3" max="3" width="19.42578125" bestFit="1" customWidth="1"/>
    <col min="4" max="4" width="21.140625" bestFit="1" customWidth="1"/>
    <col min="6" max="6" width="42.5703125" bestFit="1" customWidth="1"/>
    <col min="7" max="7" width="18" bestFit="1" customWidth="1"/>
    <col min="8" max="8" width="14.7109375" bestFit="1" customWidth="1"/>
    <col min="9" max="9" width="13.28515625" bestFit="1" customWidth="1"/>
    <col min="10" max="10" width="14" bestFit="1" customWidth="1"/>
  </cols>
  <sheetData>
    <row r="1" spans="1:10" ht="15.75" x14ac:dyDescent="0.25">
      <c r="A1" s="1" t="s">
        <v>23</v>
      </c>
      <c r="B1" s="2" t="s">
        <v>24</v>
      </c>
      <c r="C1" s="3" t="s">
        <v>25</v>
      </c>
      <c r="D1" s="4" t="s">
        <v>26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27</v>
      </c>
    </row>
    <row r="2" spans="1:10" ht="15.75" x14ac:dyDescent="0.25">
      <c r="A2" s="6" t="s">
        <v>0</v>
      </c>
      <c r="B2" s="7"/>
      <c r="C2" s="8"/>
      <c r="D2" s="9"/>
      <c r="F2" s="15" t="s">
        <v>22</v>
      </c>
      <c r="G2" s="16">
        <v>2000000</v>
      </c>
      <c r="H2" s="20">
        <v>0</v>
      </c>
      <c r="I2" s="16">
        <f>G2-H2</f>
        <v>2000000</v>
      </c>
      <c r="J2" s="5">
        <f>Tabla35[[#This Row],[AHORRADO]]/Tabla35[[#This Row],[MONTO TOTAL]]</f>
        <v>0</v>
      </c>
    </row>
    <row r="3" spans="1:10" ht="15.75" x14ac:dyDescent="0.25">
      <c r="A3" s="19" t="s">
        <v>1</v>
      </c>
      <c r="B3" s="10">
        <v>1423000</v>
      </c>
      <c r="C3" s="11"/>
      <c r="D3" s="12" t="s">
        <v>16</v>
      </c>
      <c r="F3" s="15"/>
      <c r="G3" s="16"/>
      <c r="H3" s="16"/>
      <c r="I3" s="16"/>
      <c r="J3" s="5"/>
    </row>
    <row r="4" spans="1:10" ht="15.75" x14ac:dyDescent="0.25">
      <c r="A4" s="13" t="s">
        <v>2</v>
      </c>
      <c r="B4" s="14"/>
      <c r="C4" s="13" t="s">
        <v>14</v>
      </c>
      <c r="D4" s="15"/>
    </row>
    <row r="5" spans="1:10" ht="15.75" x14ac:dyDescent="0.25">
      <c r="A5" s="9" t="s">
        <v>28</v>
      </c>
      <c r="B5" s="14">
        <v>1200000</v>
      </c>
      <c r="C5" s="16">
        <f t="shared" ref="C5:C11" si="0">B5/2</f>
        <v>600000</v>
      </c>
      <c r="D5" s="12" t="s">
        <v>16</v>
      </c>
    </row>
    <row r="6" spans="1:10" ht="15.75" x14ac:dyDescent="0.25">
      <c r="A6" s="9" t="s">
        <v>30</v>
      </c>
      <c r="B6" s="10">
        <v>100000</v>
      </c>
      <c r="C6" s="16">
        <f t="shared" si="0"/>
        <v>50000</v>
      </c>
      <c r="D6" s="11"/>
    </row>
    <row r="7" spans="1:10" ht="15.75" x14ac:dyDescent="0.25">
      <c r="A7" s="9" t="s">
        <v>31</v>
      </c>
      <c r="B7" s="10">
        <v>80000</v>
      </c>
      <c r="C7" s="16">
        <f t="shared" si="0"/>
        <v>40000</v>
      </c>
      <c r="D7" s="9"/>
    </row>
    <row r="8" spans="1:10" ht="15.75" x14ac:dyDescent="0.25">
      <c r="A8" s="9" t="s">
        <v>3</v>
      </c>
      <c r="B8" s="10">
        <v>4000</v>
      </c>
      <c r="C8" s="16">
        <f t="shared" si="0"/>
        <v>2000</v>
      </c>
      <c r="D8" s="9"/>
    </row>
    <row r="9" spans="1:10" ht="15.75" x14ac:dyDescent="0.25">
      <c r="A9" s="9" t="s">
        <v>4</v>
      </c>
      <c r="B9" s="10">
        <v>80000</v>
      </c>
      <c r="C9" s="16">
        <f t="shared" si="0"/>
        <v>40000</v>
      </c>
      <c r="D9" s="9"/>
    </row>
    <row r="10" spans="1:10" ht="15.75" x14ac:dyDescent="0.25">
      <c r="A10" s="9" t="s">
        <v>5</v>
      </c>
      <c r="B10" s="10">
        <v>23000</v>
      </c>
      <c r="C10" s="16">
        <f>Tabla2[[#This Row],[Columna2]]</f>
        <v>23000</v>
      </c>
      <c r="D10" s="9"/>
    </row>
    <row r="11" spans="1:10" ht="15.75" x14ac:dyDescent="0.25">
      <c r="A11" s="9" t="s">
        <v>29</v>
      </c>
      <c r="B11" s="10">
        <v>100000</v>
      </c>
      <c r="C11" s="16">
        <f t="shared" si="0"/>
        <v>50000</v>
      </c>
      <c r="D11" s="9"/>
    </row>
    <row r="12" spans="1:10" ht="15.75" x14ac:dyDescent="0.25">
      <c r="A12" s="13" t="s">
        <v>6</v>
      </c>
      <c r="B12" s="14">
        <f>SUM(C5:C11)</f>
        <v>805000</v>
      </c>
      <c r="C12" s="17"/>
      <c r="D12" s="9"/>
    </row>
    <row r="13" spans="1:10" ht="15.75" x14ac:dyDescent="0.25">
      <c r="A13" s="9"/>
      <c r="B13" s="9"/>
      <c r="C13" s="9"/>
      <c r="D13" s="9"/>
    </row>
    <row r="14" spans="1:10" ht="15.75" x14ac:dyDescent="0.25">
      <c r="A14" s="13" t="s">
        <v>7</v>
      </c>
      <c r="B14" s="9"/>
      <c r="C14" s="9"/>
      <c r="D14" s="9"/>
    </row>
    <row r="15" spans="1:10" ht="15.75" x14ac:dyDescent="0.25">
      <c r="A15" s="13" t="s">
        <v>8</v>
      </c>
      <c r="B15" s="13" t="s">
        <v>9</v>
      </c>
      <c r="C15" s="13" t="s">
        <v>10</v>
      </c>
      <c r="D15" s="18" t="s">
        <v>17</v>
      </c>
    </row>
    <row r="16" spans="1:10" ht="15.75" x14ac:dyDescent="0.25">
      <c r="A16" s="9" t="s">
        <v>11</v>
      </c>
      <c r="B16" s="5">
        <v>0.2</v>
      </c>
      <c r="C16" s="16">
        <f>B3*B16</f>
        <v>284600</v>
      </c>
      <c r="D16" s="9"/>
    </row>
    <row r="17" spans="1:4" ht="15.75" x14ac:dyDescent="0.25">
      <c r="A17" s="9" t="s">
        <v>12</v>
      </c>
      <c r="B17" s="5">
        <v>0.1</v>
      </c>
      <c r="C17" s="16">
        <f>B3*B17</f>
        <v>142300</v>
      </c>
      <c r="D17" s="9"/>
    </row>
    <row r="18" spans="1:4" ht="15.75" x14ac:dyDescent="0.25">
      <c r="A18" s="9" t="s">
        <v>13</v>
      </c>
      <c r="B18" s="5">
        <v>0.12</v>
      </c>
      <c r="C18" s="16">
        <f>B3*B18</f>
        <v>170760</v>
      </c>
      <c r="D18" s="9"/>
    </row>
    <row r="19" spans="1:4" ht="15.75" x14ac:dyDescent="0.25">
      <c r="A19" s="9"/>
      <c r="B19" s="9"/>
      <c r="C19" s="9"/>
      <c r="D19" s="9"/>
    </row>
    <row r="20" spans="1:4" ht="15.75" x14ac:dyDescent="0.25">
      <c r="A20" s="13" t="s">
        <v>15</v>
      </c>
      <c r="B20" s="17">
        <f>B3-B12-C16-C17-C18</f>
        <v>20340</v>
      </c>
      <c r="C20" s="9"/>
      <c r="D20" s="15"/>
    </row>
  </sheetData>
  <conditionalFormatting sqref="B3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{4D537A19-B56D-49DE-9E08-EF0B27CE71D5}</x14:id>
        </ext>
      </extLst>
    </cfRule>
  </conditionalFormatting>
  <conditionalFormatting sqref="B5:B11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{28AC73D4-6D81-4904-94FE-8D2C045EF6AD}</x14:id>
        </ext>
      </extLst>
    </cfRule>
  </conditionalFormatting>
  <conditionalFormatting sqref="B6:B11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{93DC9337-AC70-45BC-A95B-D9C22727C6D0}</x14:id>
        </ext>
      </extLst>
    </cfRule>
  </conditionalFormatting>
  <conditionalFormatting sqref="B6:B12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{21EA2C8D-B131-403C-9672-C06C4AA65706}</x14:id>
        </ext>
      </extLst>
    </cfRule>
  </conditionalFormatting>
  <conditionalFormatting sqref="B12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{5701699A-5A86-4B76-84C6-DB4B7B2328FD}</x14:id>
        </ext>
      </extLst>
    </cfRule>
  </conditionalFormatting>
  <conditionalFormatting sqref="B20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{76F6329D-2089-40AA-A3D8-6125D8B26301}</x14:id>
        </ext>
      </extLst>
    </cfRule>
  </conditionalFormatting>
  <conditionalFormatting sqref="B16:C18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{D531EE90-BC4E-4397-9E15-A6E5C782ABB4}</x14:id>
        </ext>
      </extLst>
    </cfRule>
  </conditionalFormatting>
  <conditionalFormatting sqref="C5:C6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{4A0DA199-8641-4981-8AE6-EAC9A5AB48FB}</x14:id>
        </ext>
      </extLst>
    </cfRule>
  </conditionalFormatting>
  <conditionalFormatting sqref="C5:C1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{068791DF-5C55-4E57-B169-1B9F37784B52}</x14:id>
        </ext>
      </extLst>
    </cfRule>
  </conditionalFormatting>
  <conditionalFormatting sqref="C5:C12">
    <cfRule type="dataBar" priority="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{AB829BF7-429D-4E3C-942B-B3EABA2068DB}</x14:id>
        </ext>
      </extLst>
    </cfRule>
  </conditionalFormatting>
  <conditionalFormatting sqref="C16:C18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{EF863416-7D5D-4FF3-AA53-81E590CD201F}</x14:id>
        </ext>
      </extLst>
    </cfRule>
  </conditionalFormatting>
  <conditionalFormatting sqref="I2:I3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{75EA89C9-1449-4716-90CB-D71764FA2EBE}</x14:id>
        </ext>
      </extLst>
    </cfRule>
  </conditionalFormatting>
  <conditionalFormatting sqref="J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{4166F7BA-FB96-417B-9D6C-A839283BFE80}</x14:id>
        </ext>
      </extLst>
    </cfRule>
  </conditionalFormatting>
  <conditionalFormatting sqref="J2:J3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{9C5BB3B3-C238-4096-96F7-003A107ABC24}</x14:id>
        </ext>
      </extLst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537A19-B56D-49DE-9E08-EF0B27CE71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</xm:sqref>
        </x14:conditionalFormatting>
        <x14:conditionalFormatting xmlns:xm="http://schemas.microsoft.com/office/excel/2006/main">
          <x14:cfRule type="dataBar" id="{28AC73D4-6D81-4904-94FE-8D2C045EF6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B5:B11</xm:sqref>
        </x14:conditionalFormatting>
        <x14:conditionalFormatting xmlns:xm="http://schemas.microsoft.com/office/excel/2006/main">
          <x14:cfRule type="dataBar" id="{93DC9337-AC70-45BC-A95B-D9C22727C6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B6:B11</xm:sqref>
        </x14:conditionalFormatting>
        <x14:conditionalFormatting xmlns:xm="http://schemas.microsoft.com/office/excel/2006/main">
          <x14:cfRule type="dataBar" id="{21EA2C8D-B131-403C-9672-C06C4AA657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B6:B12</xm:sqref>
        </x14:conditionalFormatting>
        <x14:conditionalFormatting xmlns:xm="http://schemas.microsoft.com/office/excel/2006/main">
          <x14:cfRule type="dataBar" id="{5701699A-5A86-4B76-84C6-DB4B7B2328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B12</xm:sqref>
        </x14:conditionalFormatting>
        <x14:conditionalFormatting xmlns:xm="http://schemas.microsoft.com/office/excel/2006/main">
          <x14:cfRule type="dataBar" id="{76F6329D-2089-40AA-A3D8-6125D8B2630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B20</xm:sqref>
        </x14:conditionalFormatting>
        <x14:conditionalFormatting xmlns:xm="http://schemas.microsoft.com/office/excel/2006/main">
          <x14:cfRule type="dataBar" id="{D531EE90-BC4E-4397-9E15-A6E5C782AB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B16:C18</xm:sqref>
        </x14:conditionalFormatting>
        <x14:conditionalFormatting xmlns:xm="http://schemas.microsoft.com/office/excel/2006/main">
          <x14:cfRule type="dataBar" id="{4A0DA199-8641-4981-8AE6-EAC9A5AB48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C5:C6</xm:sqref>
        </x14:conditionalFormatting>
        <x14:conditionalFormatting xmlns:xm="http://schemas.microsoft.com/office/excel/2006/main">
          <x14:cfRule type="dataBar" id="{068791DF-5C55-4E57-B169-1B9F37784B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C5:C11</xm:sqref>
        </x14:conditionalFormatting>
        <x14:conditionalFormatting xmlns:xm="http://schemas.microsoft.com/office/excel/2006/main">
          <x14:cfRule type="dataBar" id="{AB829BF7-429D-4E3C-942B-B3EABA2068D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C5:C12</xm:sqref>
        </x14:conditionalFormatting>
        <x14:conditionalFormatting xmlns:xm="http://schemas.microsoft.com/office/excel/2006/main">
          <x14:cfRule type="dataBar" id="{EF863416-7D5D-4FF3-AA53-81E590CD20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C16:C18</xm:sqref>
        </x14:conditionalFormatting>
        <x14:conditionalFormatting xmlns:xm="http://schemas.microsoft.com/office/excel/2006/main">
          <x14:cfRule type="dataBar" id="{75EA89C9-1449-4716-90CB-D71764FA2E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I2:I3</xm:sqref>
        </x14:conditionalFormatting>
        <x14:conditionalFormatting xmlns:xm="http://schemas.microsoft.com/office/excel/2006/main">
          <x14:cfRule type="dataBar" id="{4166F7BA-FB96-417B-9D6C-A839283BFE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</xm:sqref>
        </x14:conditionalFormatting>
        <x14:conditionalFormatting xmlns:xm="http://schemas.microsoft.com/office/excel/2006/main">
          <x14:cfRule type="dataBar" id="{9C5BB3B3-C238-4096-96F7-003A107ABC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J2:J3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Finanzas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sergy ferreira</dc:creator>
  <cp:lastModifiedBy>sergy ferreira</cp:lastModifiedBy>
  <dcterms:created xsi:type="dcterms:W3CDTF">2015-06-05T18:19:34Z</dcterms:created>
  <dcterms:modified xsi:type="dcterms:W3CDTF">2026-01-16T13:04:30Z</dcterms:modified>
</cp:coreProperties>
</file>